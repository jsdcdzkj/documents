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I办公场景需求收集表汇总" sheetId="1" r:id="rId1"/>
    <sheet name="Sheet2" sheetId="2" r:id="rId2"/>
    <sheet name="Sheet3" sheetId="3" r:id="rId3"/>
  </sheets>
  <definedNames>
    <definedName name="_xlnm._FilterDatabase" localSheetId="0" hidden="1">AI办公场景需求收集表汇总!$N$1:$N$30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<sst xmlns="http://schemas.openxmlformats.org/spreadsheetml/2006/main" count="310" uniqueCount="226">
  <si>
    <t>AI办公场景需求收集表汇总</t>
  </si>
  <si>
    <t>为响应公司战略要求，系统化推进AI大模型技术在办公场景的落地，请各部门结合业务痛点与创新方向，填写本需求收集表。我们将基于反馈优先级、技术可行性与业务价值，制定分阶段实施方案。</t>
  </si>
  <si>
    <t>序号</t>
  </si>
  <si>
    <t>基础信息</t>
  </si>
  <si>
    <t>需求描述</t>
  </si>
  <si>
    <t>期望效果</t>
  </si>
  <si>
    <t>输入/输出示例</t>
  </si>
  <si>
    <t>是否需要对接其他系统</t>
  </si>
  <si>
    <t>是否可行</t>
  </si>
  <si>
    <t>负责人</t>
  </si>
  <si>
    <t>提交部门</t>
  </si>
  <si>
    <t>需求紧迫度</t>
  </si>
  <si>
    <t>当前痛点</t>
  </si>
  <si>
    <t>理想解决方案</t>
  </si>
  <si>
    <t>主要用户角色</t>
  </si>
  <si>
    <t>效率提升</t>
  </si>
  <si>
    <t>质量改进</t>
  </si>
  <si>
    <t>业务价值</t>
  </si>
  <si>
    <t>输入</t>
  </si>
  <si>
    <t>输出</t>
  </si>
  <si>
    <t>例：</t>
  </si>
  <si>
    <t>软件研发部</t>
  </si>
  <si>
    <t>高（3个月内需解决）
中（半年内规划）
低（长期探索）</t>
  </si>
  <si>
    <t>例：每周手动整理会议纪要耗时约3小时，且关键信息易遗漏</t>
  </si>
  <si>
    <t>例：AI自动生成结构化纪要，并标记待决策事项</t>
  </si>
  <si>
    <t>项目助理</t>
  </si>
  <si>
    <t>如：预计节省时间/人力比例</t>
  </si>
  <si>
    <t>如：错误率降低、一致性提升等</t>
  </si>
  <si>
    <t>如：客户满意度提升、成本节约等</t>
  </si>
  <si>
    <t>例：会议录音文件、原始数据表、需求描述文本</t>
  </si>
  <si>
    <t>例：结构化表格、摘要报告、可视化图表</t>
  </si>
  <si>
    <t>如有，请列出系统名称</t>
  </si>
  <si>
    <t>西南区域</t>
  </si>
  <si>
    <t xml:space="preserve">
中（半年内规划）
</t>
  </si>
  <si>
    <t>招标文件资格以及得分点情况，涉及人员证书匹配（证书名称一定要准确）、人员业绩匹配，业绩是否竣工匹配，需要花大量时间逐一查找，核对</t>
  </si>
  <si>
    <t>AI结合招标文件和我司资料(企业证书、人员资格证书及业绩资料)，可以迅速给出得分失分情况</t>
  </si>
  <si>
    <t>投标专员</t>
  </si>
  <si>
    <t>快速给出得分失分点，可更快应对是否参与项目</t>
  </si>
  <si>
    <t>精确得分失分点</t>
  </si>
  <si>
    <t>自己第一时间判断是否有参加可行性，更快响应客户，节约时间</t>
  </si>
  <si>
    <t>招标文件</t>
  </si>
  <si>
    <t>得分失分情况</t>
  </si>
  <si>
    <t>否，需要AI库里有企业资料库:企业证书包含有效期）、人员资格证书（包含有效期，项目经理是否公示），及业绩资料（包含金额，中标时间，合同时间，竣工时间，以及项目经理，技术负责人，项目组人员）</t>
  </si>
  <si>
    <t>验证</t>
  </si>
  <si>
    <t>白楠组/范森舟</t>
  </si>
  <si>
    <t>衡丰商管</t>
  </si>
  <si>
    <t>中（半年内规划）</t>
  </si>
  <si>
    <t>菜品购买账单录入耗时较长，简单且重复，需要反复核对</t>
  </si>
  <si>
    <t>AI识别图片自动整理</t>
  </si>
  <si>
    <t>菜品采购员</t>
  </si>
  <si>
    <t>节省时间/人力</t>
  </si>
  <si>
    <t>错误率降低</t>
  </si>
  <si>
    <t>人力成本节约</t>
  </si>
  <si>
    <t>手工菜品采购清单照片</t>
  </si>
  <si>
    <t>结构化表格
可视化图表</t>
  </si>
  <si>
    <t>否</t>
  </si>
  <si>
    <t>市场部-企划</t>
  </si>
  <si>
    <t>高（3个月内需解决）</t>
  </si>
  <si>
    <t>企业简介相关资料都是线下咨询，微信发送。</t>
  </si>
  <si>
    <t>在智慧园区app智能体中，增加最新版本，提出资料需求，自动给出文件</t>
  </si>
  <si>
    <t>品牌宣传</t>
  </si>
  <si>
    <t>能提高各部门对企业资料使用效率</t>
  </si>
  <si>
    <t>无</t>
  </si>
  <si>
    <t>客户满意度提升</t>
  </si>
  <si>
    <t>指令</t>
  </si>
  <si>
    <t>相关资料文件</t>
  </si>
  <si>
    <t>低（长期探索）</t>
  </si>
  <si>
    <t>天气预报每日手动获取</t>
  </si>
  <si>
    <t>AI链接天气预报API端口，自动生成天气预报，并通过企业微信机器人发送至微信群</t>
  </si>
  <si>
    <t>内部宣传</t>
  </si>
  <si>
    <t>减少重复性工作</t>
  </si>
  <si>
    <t>提升天气预报准确性</t>
  </si>
  <si>
    <t>提高员工归属感</t>
  </si>
  <si>
    <t>每日定时获取</t>
  </si>
  <si>
    <t>文字预报</t>
  </si>
  <si>
    <t>是，关联天气预报系统</t>
  </si>
  <si>
    <t>AI类、科技类新闻获取</t>
  </si>
  <si>
    <t>AI在全网范围内搜集前一日最新的AI和科技类的新闻，并进行汇总</t>
  </si>
  <si>
    <t>减少重复性工作，节约大量搜集整理时间</t>
  </si>
  <si>
    <t>防止遗漏重要新闻</t>
  </si>
  <si>
    <t>提升新闻准确性和及时性</t>
  </si>
  <si>
    <t>MD文件+新闻图片</t>
  </si>
  <si>
    <t>内部新闻质量审核</t>
  </si>
  <si>
    <t>针对内部新闻进行内容自动评审，优化</t>
  </si>
  <si>
    <t>减少重复性工作，提高内容通过率</t>
  </si>
  <si>
    <t>提高新闻质量</t>
  </si>
  <si>
    <t>内部新闻稿件</t>
  </si>
  <si>
    <t>审核报告</t>
  </si>
  <si>
    <t>市场部</t>
  </si>
  <si>
    <t>资质维护、项目申报及对主管部门报送主要财务数据时存在滞后</t>
  </si>
  <si>
    <t>AI自动生成过往年份统一口径的主要财务指标，如营业收入、研发费用、纳税额等</t>
  </si>
  <si>
    <t>资质专员、项目申报专员</t>
  </si>
  <si>
    <t>节省时间</t>
  </si>
  <si>
    <t>需求描述文本</t>
  </si>
  <si>
    <t>结构化表格、摘要报告、可视化图表</t>
  </si>
  <si>
    <t>跟进需求</t>
  </si>
  <si>
    <t>范森舟</t>
  </si>
  <si>
    <t>项目申报中关于公司的核心技术、主要产品及其功能描述等信息来源相对匮乏</t>
  </si>
  <si>
    <t>AI自动生成公司的核心技术、主要产品及其功能描述</t>
  </si>
  <si>
    <t>李彬组/张维/曹恒铭</t>
  </si>
  <si>
    <t>公安教育事业部</t>
  </si>
  <si>
    <t>医疗交通企业事业部</t>
  </si>
  <si>
    <t>司法事业部</t>
  </si>
  <si>
    <t>客户跟进过程中，对于客户单位的人员架构、资金状况情况不甚了解。缺乏营收数据、供应链稳定性、知识产权布局等深度维度，无法支撑复杂决策</t>
  </si>
  <si>
    <t>1、像天眼查、企查查类APP一样可以直接查询每个单位的情况；
2、像豆包、元宝类APP一样可以分析痛点，制定具有针对性、可行性的跟进方案</t>
  </si>
  <si>
    <t>业务经理</t>
  </si>
  <si>
    <t>1、减少信息整理、分析调研的人力成本与时间成本；2、提升客户开发、合作对接、投资决策的效率，成交转化率
3、精准识别企业隐性风险（如关联失信、履约能力不足），避免合作 / 投资损失</t>
  </si>
  <si>
    <t>/</t>
  </si>
  <si>
    <t>筛选优质客户
提高赢单率</t>
  </si>
  <si>
    <t>公司名称/人员姓名等</t>
  </si>
  <si>
    <t>根据跟进目标，生成合作拓展、风险规避、投资评估等报告，生成 “切入点 + 沟通话术 + 落地步骤 + 资源匹配” 的分阶段方案，适配首次沟通、线下拜访等不同场景</t>
  </si>
  <si>
    <t>未知</t>
  </si>
  <si>
    <t>区域合作部</t>
  </si>
  <si>
    <t>每天根据项目情况整理业绩是否满足招标文件要求，耗时较久，且会容易业绩信息遗漏，导致失分情况不准确</t>
  </si>
  <si>
    <t>AI自动生成是否满足招标文件要求业绩，并带出业绩中标时间，合同签订时间，竣工验收时间，项目经理，是否有在建，业绩内包含哪些系统，比如机房系统，综合布线系统这些</t>
  </si>
  <si>
    <t>预计节省时间两个小时</t>
  </si>
  <si>
    <t>提高效率</t>
  </si>
  <si>
    <t>招标文件业绩要求，比如1000万以上智能化业绩，要求竣工时间2020年1月1日以后的，业绩要求中标通知书、合同、竣工验收证明。竣工验收证明带四方章</t>
  </si>
  <si>
    <t>结构化表格</t>
  </si>
  <si>
    <t>商务部</t>
  </si>
  <si>
    <t>1、招标文件页数多，内容多。完成投标文件编制后，对比招标文件的资格评审项和加分评审项，容易出现遗漏或者错误。</t>
  </si>
  <si>
    <t>AI结合招标文件和我司资料（企业证书、人员资格证书及业绩资料），确保投标文件，不缺项、漏项</t>
  </si>
  <si>
    <t>可一定程度弥补人工检查的疏忽和注意力盲区。且可以缩短标书检查的时间，提高标书检查的效率</t>
  </si>
  <si>
    <t>1、提高投保文件完整性、合规性；2、确保招标文件条款响应度；              3、规避“关联词确实”与“禁用语”风险</t>
  </si>
  <si>
    <t>1、增强客户信任与品牌专业形象；                             2、提高中标率，增加企业收入；         3、降低投标成本和风险成本；       4、赋能团队</t>
  </si>
  <si>
    <t>招标文件、投标文件</t>
  </si>
  <si>
    <t>摘要报告、可视化图表</t>
  </si>
  <si>
    <t>否，但需要AI库里有企业资料库：企业证书、人员资格证书及业绩资料）。</t>
  </si>
  <si>
    <t>1、合同条款复杂，人工起草耗时且易遗漏关键条款；
2、审核过程中难以快速识别潜在法律与商业风险；
3、合同版本管理混乱，历史修改记录不易追溯</t>
  </si>
  <si>
    <t>1、AI根据招标文件合同条款与关键中标信息自动生成标准草案；
2、自动检查条款合规性、风险词条、缺失项；
3、支持合同版本对比与修改建议标注。</t>
  </si>
  <si>
    <t>投标专员、商务专员</t>
  </si>
  <si>
    <t xml:space="preserve"> 预计节约合同起草时间约50%，审核时间减少50%</t>
  </si>
  <si>
    <t>1、提升合同条款的完整性与合规性；
2、降低合同纠纷风险；
3、增强合同文本的一致性。</t>
  </si>
  <si>
    <t>1、加快合同签署流程，提升业务响应速度；
2、降低法律风险与潜在损失；
3、提升客户信任与内部协作效率</t>
  </si>
  <si>
    <t>招标文件（合同模板）、投保文件、双方基本信息、历史合同库</t>
  </si>
  <si>
    <t>结构化合同草案、风险提示报告、条款对比视图</t>
  </si>
  <si>
    <t>是，关联OA流程：投标流程和合同审批流程</t>
  </si>
  <si>
    <t>解决方案部</t>
  </si>
  <si>
    <t>1. 人工询价效率低：需逐一向1-3家供应商沟通确认，单次成本核算耗时2-3天，无法快速响应项目需求；
2. 历史价格对比难：价格数据分散在Excel表格、邮件记录中，整理对比需额外2-3小时，无法快速分析产品价格趋势，确认价格真实性；
3. 厂家配合风险大：遇到厂家拒绝报价、延迟回复或提供不真实价格，导致成本核算停滞，延误项目推进；
4. 人工操作误差高、效率低：手动录入价格信息存在错误率，导致项目报价偏差，可能造成商业谈判被动或利润损失，且厂家报价分散在各个表格中，人工整理效率低。</t>
  </si>
  <si>
    <t>1. AI历史价自动匹配：整合公司历史采购数据库，根据物料名称、规格自动匹配最相似历史成交价，减少人工询价工作；
2. 智能价格推算：厂家不配合时，基于相似物料价格、市场行情趋势、成本构成模型自动推算合理价格区间，确保核算不中断；
3. 一键成本核算：系统自动汇总物料成本，生成总成本表和明细对比表；
4、智能审核：对于没有前期询价的项目，一键关联相关项成本，迅速完成成本对比评估。
5. 数据集中管理：建立统一的历史采购价格库，支持按物料、供应商、时间多维度检索对比</t>
  </si>
  <si>
    <t>成本核算人员</t>
  </si>
  <si>
    <t>1. 核算效率：单次成本核算时间从2-3天缩短至1小时；
2. 对比效率：历史价格对比时间从2-3小时缩短至10分钟；
3. 停滞率：因厂家不配合导致的核算停滞减少；</t>
  </si>
  <si>
    <t>1. 价格误差：人工录入错误率降低；
2. 报价偏差：项目整体报价偏差降低；
3. 数据覆盖：历史价格数据覆盖率提升；
4. 决策支持：提供价格趋势分析，辅助采购决策准确性</t>
  </si>
  <si>
    <t>人力成本节约、 延误损失减少、商业机会提升、报价响应速度提升、客户满意度提高</t>
  </si>
  <si>
    <t>1. 项目物料清单（含物料名称、规格型号、数量、质量标准、交付时间）；
2. 历史采购数据库（供应商名称、成交价格、采购时间、交付周期、质量反馈）；</t>
  </si>
  <si>
    <t>1. 项目成本核算总表；
2. 物料价格明细对比表（含历史价格趋势图）；
3. 厂家不配合时的价格推算报告（含推算依据和置信度）；</t>
  </si>
  <si>
    <t>是，需关联U8 系统、OA系统</t>
  </si>
  <si>
    <t>无法对接系统</t>
  </si>
  <si>
    <t>1. 重复编写工作量大：每个新项目需重新编写施工组织设计，相同类型项目内容重复率高，编写耗时2-3天；
2. 排版美化效率低：需使用Word/PPT调整字体、配色、图表布局，排版美化耗时2-3天；</t>
  </si>
  <si>
    <t>1. AI自动生成内容：根据项目类型（安装/装饰）、规模、工期要求自动生成施工组织设计框架和基础内容；
2. 一键排版美化：内置公司标准化模板，支持一键统一格式、插入图表、调整布局；
3. 内容完整性检测：AI识别关键环节缺失，主动提示补充完善；
4. 版本管理：自动记录修改痕迹，支持版本回溯和对比</t>
  </si>
  <si>
    <t>技术人员</t>
  </si>
  <si>
    <t>方案生成时间从3天缩短至1天，排版时间从3天缩短至1天</t>
  </si>
  <si>
    <t>施工组织设计格式一致性100%，关键内容无遗漏，专业度显著提升</t>
  </si>
  <si>
    <t>节省人力成本，项目方案交付周期缩短客户对方案专业度满意度提升</t>
  </si>
  <si>
    <t>1. 招标文件及图纸
2. 行业施工组织设计模板
3. 历史优秀方案案例库</t>
  </si>
  <si>
    <t>1. 完整施工组织设计文档（Word格式）；
2. 内容完整性检查报告；</t>
  </si>
  <si>
    <t>采购部</t>
  </si>
  <si>
    <t>查找相关供应商合同及付款信息时，因涉及项目数量较多且合同签订时间跨度较大，导致查阅工作量大，且易出现信息不准确的问题。</t>
  </si>
  <si>
    <t>AI自动查找相关供应商的合同签订及历史付款信息</t>
  </si>
  <si>
    <t>采购部全体人员</t>
  </si>
  <si>
    <t>预计节省时间/人力</t>
  </si>
  <si>
    <t>准确知悉过往采购价，合同付款条款，付款时间查询</t>
  </si>
  <si>
    <t>增加合同及付款信息查找准确率</t>
  </si>
  <si>
    <t>供应商名称，项目名称，关键物料字眼</t>
  </si>
  <si>
    <t>合同，历史付款信息</t>
  </si>
  <si>
    <t>是，需关联OA，U8</t>
  </si>
  <si>
    <t>工程部</t>
  </si>
  <si>
    <t>高（3 个月内需解决）</t>
  </si>
  <si>
    <t>人工核对合同清单项与施工图纸点位，平均每份合同需 2-3 个工作日，耗时长。
人工核对易遗漏隐蔽工程点位、规格型号差异等细节，误差大，导致后期结算纠纷。
项目变更时，需重新核对全量点位，重复工作量大，影响项目进度。
核对结果缺乏标准化记录</t>
  </si>
  <si>
    <t>1、系统自动从合同 PDF/Excel 中提取清单项（含编号、名称、规格、数量、位置），从 CAD 图纸中识别点位信息（含坐标、类型、技术参数）2、AI 按预设规则（如点位编号匹配、规格一致性校验、数量逻辑核对）进行交叉比对，标记差异项。3、差异分类标注：将差异分为 “数量不匹配”“规格不一致”“位置冲突”“遗漏点位” 四类，附带截图定位与原因推测。4、支持用户对 AI 标记的差异项进行确认、修改，系统学习人工判断逻辑，持续提升准确率。</t>
  </si>
  <si>
    <t>造价工程师、现场技术员</t>
  </si>
  <si>
    <t>单份合同核对时间从 2-3 天缩短至 1-2 小时，效率提升 95% 以上；项目变更时，核对效率提升 80%。</t>
  </si>
  <si>
    <t>降低核对误差率；提高差异项定位准确率，减少结算纠纷 。</t>
  </si>
  <si>
    <t xml:space="preserve">降低人工成本；减少因点位不符导致的图纸会审漏项的风险及结算纠纷；缩短项目结算周期 </t>
  </si>
  <si>
    <t>1. 合同文件（WORD/PDF/Excel 格式，含清单项表格）
2. 施工图纸（CAD 格式.dwg，含点位标注）
3. 项目基础信息（项目编号、核对规则配置表）</t>
  </si>
  <si>
    <t xml:space="preserve">1. 点位核对报告（含匹配率、差异项清单、定位）
</t>
  </si>
  <si>
    <t>是，需对接项目管理系统：同步项目进度，触发关键节点（如发起预算前、开工前、结算前）的自动核对任务。</t>
  </si>
  <si>
    <t>1、人工从 CAD 图纸测量管路长度、统计线缆根数、核算桥架规格，单项目平均耗时 7-10 天，大型项目需 1 月以上。</t>
  </si>
  <si>
    <t>AI 自动读取 CAD 图纸（.dwg），识别管路、线缆、桥架的线型、标注、规格参数（如管径、线缆型号、桥架宽度、材料数量）。</t>
  </si>
  <si>
    <t>造价工程师、预算员、技术设计师、投标部</t>
  </si>
  <si>
    <t>单项目工程量计算时间从 3-5 天缩短至 2-4 小时，效率提升 90% 以上；设计变更时计算效率提升 95%。</t>
  </si>
  <si>
    <t>计算误差率从 8%-12% 降低至 2% 以下；不同人员计算结果一致性达 99%，消除标准差异问题。</t>
  </si>
  <si>
    <t>减少人工成本；降低因工程量偏差导致的采购浪费 ；缩短项目预算编制周期 。</t>
  </si>
  <si>
    <t>1. 施工图纸（CAD 格式，含管路、线缆、桥架设计图层）
2. 计算规则配置表（如线缆预留量标准、管路转弯折算系数）
3. 项目基础信息（项目编号、工程类型、行业规范版本）</t>
  </si>
  <si>
    <t>1. 工程量汇总表（分类型统计管路 / 线缆 / 桥架的规格、数量、长度、单位）
2. 计算过程明细（含关键节点测量数据、规则套用说明）</t>
  </si>
  <si>
    <t>运维事业部</t>
  </si>
  <si>
    <t>数字运维平台工单处理中，非常规故障难以判断，处理效率低下</t>
  </si>
  <si>
    <t>AI机器人根据过往类似工单数据，给出切实可行的解决方案</t>
  </si>
  <si>
    <t>运维工程师</t>
  </si>
  <si>
    <t>提高工作效率</t>
  </si>
  <si>
    <t>缩短工单处理时间</t>
  </si>
  <si>
    <t>提高客户满意、节约人工成本</t>
  </si>
  <si>
    <t>非常规故障事项</t>
  </si>
  <si>
    <t>该故障的历史处理办法</t>
  </si>
  <si>
    <t>是，需关联数字运维平台历史工单数据</t>
  </si>
  <si>
    <t>运维项目月度、季度和年度运维报告，数据统计费时费力且准确率低</t>
  </si>
  <si>
    <t>数字运维平台根据历史数据自动形成月度、季度和年度报告</t>
  </si>
  <si>
    <t>运维项目负责人</t>
  </si>
  <si>
    <t>准确率增加，标准化</t>
  </si>
  <si>
    <t>提高客户满意度</t>
  </si>
  <si>
    <t>导入历史工单数据报表及关键数据报表</t>
  </si>
  <si>
    <t>结构化表格、可视化图标</t>
  </si>
  <si>
    <t>工程项目质保周期一键查询功能开发需求核心功能目标；实现工程项目设备质保周期一键查询，快速调取设备所属甲方合同、厂家合同及项目质保服务周期信息，支撑现场工程师维修工作高效开展。 
1. 设备关联甲方合同：合同编号、质保约定周期、质保责任范围
2. 设备关联厂家合同：供货合同信息、厂家质保期限、售后维保条款
3. 项目整体质保：项目质保服务总周期、质保起止时间、质保覆盖设备清单</t>
  </si>
  <si>
    <t>与协同数据关联</t>
  </si>
  <si>
    <t>项目名称、设备名称/编号</t>
  </si>
  <si>
    <t>摘要报告</t>
  </si>
  <si>
    <t>是，需关联OA流程中运维服务合同</t>
  </si>
  <si>
    <t>财务部</t>
  </si>
  <si>
    <t xml:space="preserve">高（3个月内需解决）
</t>
  </si>
  <si>
    <t>例：凭证录入耗费大量时间。月底各类数据不能输出报表，所有报表全部手工登记。目前每月费用凭证不能完全录入到当月，时间来不及。</t>
  </si>
  <si>
    <t>AI关联报销单请款单，生成数据报表</t>
  </si>
  <si>
    <t>财务助理</t>
  </si>
  <si>
    <t>提交工作效率、降低发票重复率。</t>
  </si>
  <si>
    <t>节约时间成本</t>
  </si>
  <si>
    <t>读取OA流程里的报销单、请款单</t>
  </si>
  <si>
    <t>是，需关联OA报销单、请款单流程</t>
  </si>
  <si>
    <t>人力资源部</t>
  </si>
  <si>
    <t>每两周统计一次全员日报未提交次数，手工统计用时约2-3小时</t>
  </si>
  <si>
    <t>AI自动统计出未提交人数</t>
  </si>
  <si>
    <t>日报统计员</t>
  </si>
  <si>
    <t>提升效率</t>
  </si>
  <si>
    <t>两周内日报表明细、考勤报表、考勤明细表</t>
  </si>
  <si>
    <t>每月统计项目工时，手工统计用时1天</t>
  </si>
  <si>
    <t>AI自动统计员工工时</t>
  </si>
  <si>
    <t>工时统计员</t>
  </si>
  <si>
    <t>工时表、项目成本表、考勤表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</si>
</sst>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6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FFFF"/>
      <name val="微软雅黑"/>
      <charset val="134"/>
    </font>
    <font>
      <sz val="10"/>
      <color rgb="FFC00000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6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7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5" fillId="0" borderId="0">
      <alignment vertical="center"/>
    </xf>
    <xf numFmtId="0" fontId="16" fillId="7" borderId="9">
      <alignment vertical="center"/>
    </xf>
    <xf numFmtId="0" fontId="17" fillId="8" borderId="10">
      <alignment vertical="center"/>
    </xf>
    <xf numFmtId="0" fontId="18" fillId="8" borderId="9">
      <alignment vertical="center"/>
    </xf>
    <xf numFmtId="0" fontId="19" fillId="9" borderId="11">
      <alignment vertical="center"/>
    </xf>
    <xf numFmtId="0" fontId="20" fillId="0" borderId="12">
      <alignment vertical="center"/>
    </xf>
    <xf numFmtId="0" fontId="21" fillId="0" borderId="13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5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4" borderId="4" xfId="0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4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30"/>
  <sheetViews>
    <sheetView tabSelected="1" zoomScale="109" zoomScaleNormal="109" workbookViewId="0">
      <pane ySplit="4" topLeftCell="A7" activePane="bottomLeft" state="frozen"/>
      <selection/>
      <selection pane="bottomLeft" activeCell="D32" sqref="D32"/>
    </sheetView>
  </sheetViews>
  <sheetFormatPr defaultColWidth="9" defaultRowHeight="13.5"/>
  <cols>
    <col min="2" max="2" width="12.6666666666667" style="2" customWidth="1"/>
    <col min="3" max="3" width="19.4416666666667" style="2" customWidth="1"/>
    <col min="4" max="4" width="23.775" style="2" customWidth="1"/>
    <col min="5" max="5" width="22.6666666666667" style="2" customWidth="1"/>
    <col min="6" max="6" width="13.4416666666667" style="2" customWidth="1"/>
    <col min="7" max="7" width="11.225" style="2" customWidth="1"/>
    <col min="8" max="8" width="13.8833333333333" style="2" customWidth="1"/>
    <col min="9" max="9" width="13.5583333333333" style="2" customWidth="1"/>
    <col min="10" max="10" width="16.1166666666667" style="2" customWidth="1"/>
    <col min="11" max="11" width="16.775" style="2" customWidth="1"/>
    <col min="12" max="12" width="26.6333333333333" style="2" customWidth="1"/>
    <col min="13" max="13" width="15.15" customWidth="1"/>
    <col min="14" max="14" width="22.4583333333333" customWidth="1"/>
  </cols>
  <sheetData>
    <row r="1" ht="23.4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ht="30" hidden="1" customHeight="1" spans="1:1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30" customHeight="1" spans="1:14">
      <c r="A3" s="6" t="s">
        <v>2</v>
      </c>
      <c r="B3" s="7" t="s">
        <v>3</v>
      </c>
      <c r="C3" s="7"/>
      <c r="D3" s="7" t="s">
        <v>4</v>
      </c>
      <c r="E3" s="7"/>
      <c r="F3" s="7"/>
      <c r="G3" s="7" t="s">
        <v>5</v>
      </c>
      <c r="H3" s="7"/>
      <c r="I3" s="7"/>
      <c r="J3" s="7" t="s">
        <v>6</v>
      </c>
      <c r="K3" s="7"/>
      <c r="L3" s="8" t="s">
        <v>7</v>
      </c>
      <c r="M3" s="8" t="s">
        <v>8</v>
      </c>
      <c r="N3" s="8" t="s">
        <v>9</v>
      </c>
    </row>
    <row r="4" ht="16.5" hidden="1" spans="1:14">
      <c r="A4" s="6"/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15</v>
      </c>
      <c r="H4" s="8" t="s">
        <v>16</v>
      </c>
      <c r="I4" s="8" t="s">
        <v>17</v>
      </c>
      <c r="J4" s="8" t="s">
        <v>18</v>
      </c>
      <c r="K4" s="8" t="s">
        <v>19</v>
      </c>
      <c r="L4" s="8"/>
      <c r="M4" s="19"/>
      <c r="N4" s="20"/>
    </row>
    <row r="5" ht="55" hidden="1" customHeight="1" spans="1:14">
      <c r="A5" s="9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1" t="s">
        <v>25</v>
      </c>
      <c r="G5" s="10" t="s">
        <v>26</v>
      </c>
      <c r="H5" s="10" t="s">
        <v>27</v>
      </c>
      <c r="I5" s="10" t="s">
        <v>28</v>
      </c>
      <c r="J5" s="10" t="s">
        <v>29</v>
      </c>
      <c r="K5" s="10" t="s">
        <v>30</v>
      </c>
      <c r="L5" s="10" t="s">
        <v>31</v>
      </c>
      <c r="M5" s="21"/>
      <c r="N5" s="22"/>
    </row>
    <row r="6" ht="99" spans="1:14">
      <c r="A6" s="9">
        <f t="shared" ref="A6:A33" si="0">ROW()-5</f>
        <v>1</v>
      </c>
      <c r="B6" s="12" t="s">
        <v>32</v>
      </c>
      <c r="C6" s="12" t="s">
        <v>33</v>
      </c>
      <c r="D6" s="12" t="s">
        <v>34</v>
      </c>
      <c r="E6" s="12" t="s">
        <v>35</v>
      </c>
      <c r="F6" s="12" t="s">
        <v>36</v>
      </c>
      <c r="G6" s="12" t="s">
        <v>37</v>
      </c>
      <c r="H6" s="12" t="s">
        <v>38</v>
      </c>
      <c r="I6" s="12" t="s">
        <v>39</v>
      </c>
      <c r="J6" s="12" t="s">
        <v>40</v>
      </c>
      <c r="K6" s="12" t="s">
        <v>41</v>
      </c>
      <c r="L6" s="12" t="s">
        <v>42</v>
      </c>
      <c r="M6" s="23" t="s">
        <v>43</v>
      </c>
      <c r="N6" s="22" t="s">
        <v>44</v>
      </c>
    </row>
    <row r="7" ht="33" spans="1:14">
      <c r="A7" s="9">
        <f t="shared" si="0"/>
        <v>2</v>
      </c>
      <c r="B7" s="12" t="s">
        <v>45</v>
      </c>
      <c r="C7" s="12" t="s">
        <v>46</v>
      </c>
      <c r="D7" s="12" t="s">
        <v>47</v>
      </c>
      <c r="E7" s="12" t="s">
        <v>48</v>
      </c>
      <c r="F7" s="12" t="s">
        <v>49</v>
      </c>
      <c r="G7" s="12" t="s">
        <v>50</v>
      </c>
      <c r="H7" s="12" t="s">
        <v>51</v>
      </c>
      <c r="I7" s="12" t="s">
        <v>52</v>
      </c>
      <c r="J7" s="12" t="s">
        <v>53</v>
      </c>
      <c r="K7" s="12" t="s">
        <v>54</v>
      </c>
      <c r="L7" s="12" t="s">
        <v>55</v>
      </c>
      <c r="M7" s="23"/>
      <c r="N7" s="22" t="s">
        <v>44</v>
      </c>
    </row>
    <row r="8" ht="49.5" spans="1:14">
      <c r="A8" s="9">
        <f t="shared" si="0"/>
        <v>3</v>
      </c>
      <c r="B8" s="13" t="s">
        <v>56</v>
      </c>
      <c r="C8" s="13" t="s">
        <v>57</v>
      </c>
      <c r="D8" s="13" t="s">
        <v>58</v>
      </c>
      <c r="E8" s="13" t="s">
        <v>59</v>
      </c>
      <c r="F8" s="13" t="s">
        <v>60</v>
      </c>
      <c r="G8" s="13" t="s">
        <v>61</v>
      </c>
      <c r="H8" s="13" t="s">
        <v>62</v>
      </c>
      <c r="I8" s="13" t="s">
        <v>63</v>
      </c>
      <c r="J8" s="13" t="s">
        <v>64</v>
      </c>
      <c r="K8" s="13" t="s">
        <v>65</v>
      </c>
      <c r="L8" s="13" t="s">
        <v>55</v>
      </c>
      <c r="M8" s="21"/>
      <c r="N8" s="22" t="s">
        <v>44</v>
      </c>
    </row>
    <row r="9" ht="49.5" spans="1:14">
      <c r="A9" s="9">
        <f t="shared" si="0"/>
        <v>4</v>
      </c>
      <c r="B9" s="12" t="s">
        <v>56</v>
      </c>
      <c r="C9" s="12" t="s">
        <v>66</v>
      </c>
      <c r="D9" s="12" t="s">
        <v>67</v>
      </c>
      <c r="E9" s="12" t="s">
        <v>68</v>
      </c>
      <c r="F9" s="12" t="s">
        <v>69</v>
      </c>
      <c r="G9" s="12" t="s">
        <v>70</v>
      </c>
      <c r="H9" s="12" t="s">
        <v>71</v>
      </c>
      <c r="I9" s="12" t="s">
        <v>72</v>
      </c>
      <c r="J9" s="12" t="s">
        <v>73</v>
      </c>
      <c r="K9" s="12" t="s">
        <v>74</v>
      </c>
      <c r="L9" s="12" t="s">
        <v>75</v>
      </c>
      <c r="M9" s="21"/>
      <c r="N9" s="22" t="s">
        <v>44</v>
      </c>
    </row>
    <row r="10" ht="49.5" spans="1:14">
      <c r="A10" s="9">
        <f t="shared" si="0"/>
        <v>5</v>
      </c>
      <c r="B10" s="12" t="s">
        <v>56</v>
      </c>
      <c r="C10" s="12" t="s">
        <v>66</v>
      </c>
      <c r="D10" s="12" t="s">
        <v>76</v>
      </c>
      <c r="E10" s="12" t="s">
        <v>77</v>
      </c>
      <c r="F10" s="12" t="s">
        <v>69</v>
      </c>
      <c r="G10" s="12" t="s">
        <v>78</v>
      </c>
      <c r="H10" s="12" t="s">
        <v>79</v>
      </c>
      <c r="I10" s="12" t="s">
        <v>80</v>
      </c>
      <c r="J10" s="12" t="s">
        <v>73</v>
      </c>
      <c r="K10" s="12" t="s">
        <v>81</v>
      </c>
      <c r="L10" s="12" t="s">
        <v>55</v>
      </c>
      <c r="M10" s="21"/>
      <c r="N10" s="22" t="s">
        <v>44</v>
      </c>
    </row>
    <row r="11" ht="49.5" spans="1:14">
      <c r="A11" s="9">
        <f t="shared" si="0"/>
        <v>6</v>
      </c>
      <c r="B11" s="12" t="s">
        <v>56</v>
      </c>
      <c r="C11" s="12" t="s">
        <v>46</v>
      </c>
      <c r="D11" s="12" t="s">
        <v>82</v>
      </c>
      <c r="E11" s="12" t="s">
        <v>83</v>
      </c>
      <c r="F11" s="12" t="s">
        <v>69</v>
      </c>
      <c r="G11" s="12" t="s">
        <v>84</v>
      </c>
      <c r="H11" s="12" t="s">
        <v>51</v>
      </c>
      <c r="I11" s="12" t="s">
        <v>85</v>
      </c>
      <c r="J11" s="12" t="s">
        <v>86</v>
      </c>
      <c r="K11" s="12" t="s">
        <v>87</v>
      </c>
      <c r="L11" s="12" t="s">
        <v>55</v>
      </c>
      <c r="M11" s="21"/>
      <c r="N11" s="22" t="s">
        <v>44</v>
      </c>
    </row>
    <row r="12" ht="49.5" spans="1:14">
      <c r="A12" s="9">
        <f t="shared" si="0"/>
        <v>7</v>
      </c>
      <c r="B12" s="14" t="s">
        <v>88</v>
      </c>
      <c r="C12" s="14" t="s">
        <v>46</v>
      </c>
      <c r="D12" s="14" t="s">
        <v>89</v>
      </c>
      <c r="E12" s="14" t="s">
        <v>90</v>
      </c>
      <c r="F12" s="14" t="s">
        <v>91</v>
      </c>
      <c r="G12" s="14" t="s">
        <v>92</v>
      </c>
      <c r="H12" s="14"/>
      <c r="I12" s="14"/>
      <c r="J12" s="14" t="s">
        <v>93</v>
      </c>
      <c r="K12" s="14" t="s">
        <v>94</v>
      </c>
      <c r="L12" s="14" t="s">
        <v>55</v>
      </c>
      <c r="M12" s="21" t="s">
        <v>95</v>
      </c>
      <c r="N12" s="22" t="s">
        <v>96</v>
      </c>
    </row>
    <row r="13" ht="49.5" hidden="1" spans="1:14">
      <c r="A13" s="9">
        <f t="shared" si="0"/>
        <v>8</v>
      </c>
      <c r="B13" s="15" t="s">
        <v>88</v>
      </c>
      <c r="C13" s="15" t="s">
        <v>46</v>
      </c>
      <c r="D13" s="15" t="s">
        <v>97</v>
      </c>
      <c r="E13" s="15" t="s">
        <v>98</v>
      </c>
      <c r="F13" s="15" t="s">
        <v>91</v>
      </c>
      <c r="G13" s="15" t="s">
        <v>92</v>
      </c>
      <c r="H13" s="15"/>
      <c r="I13" s="15"/>
      <c r="J13" s="15" t="s">
        <v>93</v>
      </c>
      <c r="K13" s="15" t="s">
        <v>94</v>
      </c>
      <c r="L13" s="15" t="s">
        <v>55</v>
      </c>
      <c r="M13" s="21"/>
      <c r="N13" s="22" t="s">
        <v>99</v>
      </c>
    </row>
    <row r="14" ht="16.5" hidden="1" spans="1:14">
      <c r="A14" s="9">
        <f t="shared" si="0"/>
        <v>9</v>
      </c>
      <c r="B14" s="16" t="s">
        <v>100</v>
      </c>
      <c r="C14" s="13" t="s">
        <v>62</v>
      </c>
      <c r="D14" s="16"/>
      <c r="E14" s="16"/>
      <c r="F14" s="16"/>
      <c r="G14" s="16"/>
      <c r="H14" s="16"/>
      <c r="I14" s="16"/>
      <c r="J14" s="16"/>
      <c r="K14" s="16"/>
      <c r="L14" s="16"/>
      <c r="M14" s="21"/>
      <c r="N14" s="22"/>
    </row>
    <row r="15" ht="33" hidden="1" spans="1:14">
      <c r="A15" s="9">
        <f t="shared" si="0"/>
        <v>10</v>
      </c>
      <c r="B15" s="16" t="s">
        <v>101</v>
      </c>
      <c r="C15" s="13" t="s">
        <v>62</v>
      </c>
      <c r="D15" s="16"/>
      <c r="E15" s="16"/>
      <c r="F15" s="16"/>
      <c r="G15" s="16"/>
      <c r="H15" s="16"/>
      <c r="I15" s="16"/>
      <c r="J15" s="16"/>
      <c r="K15" s="16"/>
      <c r="L15" s="16"/>
      <c r="M15" s="21"/>
      <c r="N15" s="22"/>
    </row>
    <row r="16" ht="247.5" hidden="1" spans="1:14">
      <c r="A16" s="9">
        <f t="shared" si="0"/>
        <v>11</v>
      </c>
      <c r="B16" s="12" t="s">
        <v>102</v>
      </c>
      <c r="C16" s="12" t="s">
        <v>66</v>
      </c>
      <c r="D16" s="12" t="s">
        <v>103</v>
      </c>
      <c r="E16" s="12" t="s">
        <v>104</v>
      </c>
      <c r="F16" s="12" t="s">
        <v>105</v>
      </c>
      <c r="G16" s="12" t="s">
        <v>106</v>
      </c>
      <c r="H16" s="12" t="s">
        <v>107</v>
      </c>
      <c r="I16" s="12" t="s">
        <v>108</v>
      </c>
      <c r="J16" s="12" t="s">
        <v>109</v>
      </c>
      <c r="K16" s="12" t="s">
        <v>110</v>
      </c>
      <c r="L16" s="12" t="s">
        <v>111</v>
      </c>
      <c r="M16" s="21"/>
      <c r="N16" s="22" t="s">
        <v>99</v>
      </c>
    </row>
    <row r="17" ht="132" hidden="1" spans="1:14">
      <c r="A17" s="9">
        <f t="shared" si="0"/>
        <v>12</v>
      </c>
      <c r="B17" s="12" t="s">
        <v>112</v>
      </c>
      <c r="C17" s="12" t="s">
        <v>57</v>
      </c>
      <c r="D17" s="12" t="s">
        <v>113</v>
      </c>
      <c r="E17" s="12" t="s">
        <v>114</v>
      </c>
      <c r="F17" s="12" t="s">
        <v>36</v>
      </c>
      <c r="G17" s="12" t="s">
        <v>115</v>
      </c>
      <c r="H17" s="12" t="s">
        <v>116</v>
      </c>
      <c r="I17" s="12" t="s">
        <v>116</v>
      </c>
      <c r="J17" s="12" t="s">
        <v>117</v>
      </c>
      <c r="K17" s="12" t="s">
        <v>118</v>
      </c>
      <c r="L17" s="12" t="s">
        <v>55</v>
      </c>
      <c r="M17" s="21"/>
      <c r="N17" s="22" t="s">
        <v>99</v>
      </c>
    </row>
    <row r="18" ht="132" hidden="1" spans="1:14">
      <c r="A18" s="9">
        <f t="shared" si="0"/>
        <v>13</v>
      </c>
      <c r="B18" s="12" t="s">
        <v>119</v>
      </c>
      <c r="C18" s="12" t="s">
        <v>46</v>
      </c>
      <c r="D18" s="12" t="s">
        <v>120</v>
      </c>
      <c r="E18" s="12" t="s">
        <v>121</v>
      </c>
      <c r="F18" s="12" t="s">
        <v>36</v>
      </c>
      <c r="G18" s="12" t="s">
        <v>122</v>
      </c>
      <c r="H18" s="12" t="s">
        <v>123</v>
      </c>
      <c r="I18" s="12" t="s">
        <v>124</v>
      </c>
      <c r="J18" s="12" t="s">
        <v>125</v>
      </c>
      <c r="K18" s="12" t="s">
        <v>126</v>
      </c>
      <c r="L18" s="12" t="s">
        <v>127</v>
      </c>
      <c r="M18" s="21"/>
      <c r="N18" s="22" t="s">
        <v>99</v>
      </c>
    </row>
    <row r="19" ht="115.5" spans="1:14">
      <c r="A19" s="9">
        <f t="shared" si="0"/>
        <v>14</v>
      </c>
      <c r="B19" s="12" t="s">
        <v>119</v>
      </c>
      <c r="C19" s="12" t="s">
        <v>46</v>
      </c>
      <c r="D19" s="12" t="s">
        <v>128</v>
      </c>
      <c r="E19" s="12" t="s">
        <v>129</v>
      </c>
      <c r="F19" s="12" t="s">
        <v>130</v>
      </c>
      <c r="G19" s="12" t="s">
        <v>131</v>
      </c>
      <c r="H19" s="12" t="s">
        <v>132</v>
      </c>
      <c r="I19" s="12" t="s">
        <v>133</v>
      </c>
      <c r="J19" s="12" t="s">
        <v>134</v>
      </c>
      <c r="K19" s="12" t="s">
        <v>135</v>
      </c>
      <c r="L19" s="12" t="s">
        <v>136</v>
      </c>
      <c r="M19" s="21"/>
      <c r="N19" s="22" t="s">
        <v>44</v>
      </c>
    </row>
    <row r="20" s="1" customFormat="1" ht="346.5" hidden="1" spans="1:14">
      <c r="A20" s="17">
        <f t="shared" si="0"/>
        <v>15</v>
      </c>
      <c r="B20" s="13" t="s">
        <v>137</v>
      </c>
      <c r="C20" s="13" t="s">
        <v>46</v>
      </c>
      <c r="D20" s="13" t="s">
        <v>138</v>
      </c>
      <c r="E20" s="13" t="s">
        <v>139</v>
      </c>
      <c r="F20" s="13" t="s">
        <v>140</v>
      </c>
      <c r="G20" s="13" t="s">
        <v>141</v>
      </c>
      <c r="H20" s="13" t="s">
        <v>142</v>
      </c>
      <c r="I20" s="13" t="s">
        <v>143</v>
      </c>
      <c r="J20" s="13" t="s">
        <v>144</v>
      </c>
      <c r="K20" s="13" t="s">
        <v>145</v>
      </c>
      <c r="L20" s="13" t="s">
        <v>146</v>
      </c>
      <c r="M20" s="24" t="s">
        <v>147</v>
      </c>
      <c r="N20" s="25"/>
    </row>
    <row r="21" ht="198" spans="1:14">
      <c r="A21" s="9">
        <f t="shared" si="0"/>
        <v>16</v>
      </c>
      <c r="B21" s="12" t="s">
        <v>137</v>
      </c>
      <c r="C21" s="12" t="s">
        <v>46</v>
      </c>
      <c r="D21" s="12" t="s">
        <v>148</v>
      </c>
      <c r="E21" s="12" t="s">
        <v>149</v>
      </c>
      <c r="F21" s="12" t="s">
        <v>150</v>
      </c>
      <c r="G21" s="12" t="s">
        <v>151</v>
      </c>
      <c r="H21" s="12" t="s">
        <v>152</v>
      </c>
      <c r="I21" s="12" t="s">
        <v>153</v>
      </c>
      <c r="J21" s="12" t="s">
        <v>154</v>
      </c>
      <c r="K21" s="12" t="s">
        <v>155</v>
      </c>
      <c r="L21" s="12" t="s">
        <v>55</v>
      </c>
      <c r="M21" s="21"/>
      <c r="N21" s="22" t="s">
        <v>44</v>
      </c>
    </row>
    <row r="22" ht="82.5" hidden="1" spans="1:14">
      <c r="A22" s="9">
        <f t="shared" si="0"/>
        <v>17</v>
      </c>
      <c r="B22" s="13" t="s">
        <v>156</v>
      </c>
      <c r="C22" s="13" t="s">
        <v>46</v>
      </c>
      <c r="D22" s="13" t="s">
        <v>157</v>
      </c>
      <c r="E22" s="13" t="s">
        <v>158</v>
      </c>
      <c r="F22" s="13" t="s">
        <v>159</v>
      </c>
      <c r="G22" s="13" t="s">
        <v>160</v>
      </c>
      <c r="H22" s="13" t="s">
        <v>161</v>
      </c>
      <c r="I22" s="13" t="s">
        <v>162</v>
      </c>
      <c r="J22" s="13" t="s">
        <v>163</v>
      </c>
      <c r="K22" s="13" t="s">
        <v>164</v>
      </c>
      <c r="L22" s="13" t="s">
        <v>165</v>
      </c>
      <c r="M22" s="21" t="s">
        <v>147</v>
      </c>
      <c r="N22" s="22"/>
    </row>
    <row r="23" ht="280.5" hidden="1" spans="1:14">
      <c r="A23" s="9">
        <f t="shared" si="0"/>
        <v>18</v>
      </c>
      <c r="B23" s="13" t="s">
        <v>166</v>
      </c>
      <c r="C23" s="13" t="s">
        <v>167</v>
      </c>
      <c r="D23" s="13" t="s">
        <v>168</v>
      </c>
      <c r="E23" s="13" t="s">
        <v>169</v>
      </c>
      <c r="F23" s="13" t="s">
        <v>170</v>
      </c>
      <c r="G23" s="13" t="s">
        <v>171</v>
      </c>
      <c r="H23" s="13" t="s">
        <v>172</v>
      </c>
      <c r="I23" s="13" t="s">
        <v>173</v>
      </c>
      <c r="J23" s="13" t="s">
        <v>174</v>
      </c>
      <c r="K23" s="13" t="s">
        <v>175</v>
      </c>
      <c r="L23" s="13" t="s">
        <v>176</v>
      </c>
      <c r="M23" s="24" t="s">
        <v>147</v>
      </c>
      <c r="N23" s="22"/>
    </row>
    <row r="24" ht="165" hidden="1" spans="1:14">
      <c r="A24" s="9">
        <f t="shared" si="0"/>
        <v>19</v>
      </c>
      <c r="B24" s="12" t="s">
        <v>166</v>
      </c>
      <c r="C24" s="18" t="s">
        <v>167</v>
      </c>
      <c r="D24" s="12" t="s">
        <v>177</v>
      </c>
      <c r="E24" s="12" t="s">
        <v>178</v>
      </c>
      <c r="F24" s="12" t="s">
        <v>179</v>
      </c>
      <c r="G24" s="12" t="s">
        <v>180</v>
      </c>
      <c r="H24" s="12" t="s">
        <v>181</v>
      </c>
      <c r="I24" s="12" t="s">
        <v>182</v>
      </c>
      <c r="J24" s="12" t="s">
        <v>183</v>
      </c>
      <c r="K24" s="12" t="s">
        <v>184</v>
      </c>
      <c r="L24" s="12" t="s">
        <v>55</v>
      </c>
      <c r="M24" s="21"/>
      <c r="N24" s="22" t="s">
        <v>99</v>
      </c>
    </row>
    <row r="25" ht="33" hidden="1" spans="1:14">
      <c r="A25" s="9">
        <f t="shared" si="0"/>
        <v>20</v>
      </c>
      <c r="B25" s="12" t="s">
        <v>185</v>
      </c>
      <c r="C25" s="12" t="s">
        <v>57</v>
      </c>
      <c r="D25" s="12" t="s">
        <v>186</v>
      </c>
      <c r="E25" s="12" t="s">
        <v>187</v>
      </c>
      <c r="F25" s="12" t="s">
        <v>188</v>
      </c>
      <c r="G25" s="12" t="s">
        <v>189</v>
      </c>
      <c r="H25" s="12" t="s">
        <v>190</v>
      </c>
      <c r="I25" s="12" t="s">
        <v>191</v>
      </c>
      <c r="J25" s="12" t="s">
        <v>192</v>
      </c>
      <c r="K25" s="12" t="s">
        <v>193</v>
      </c>
      <c r="L25" s="12" t="s">
        <v>194</v>
      </c>
      <c r="M25" s="21"/>
      <c r="N25" s="22" t="s">
        <v>99</v>
      </c>
    </row>
    <row r="26" ht="49.5" hidden="1" spans="1:14">
      <c r="A26" s="9">
        <f t="shared" si="0"/>
        <v>21</v>
      </c>
      <c r="B26" s="12" t="s">
        <v>185</v>
      </c>
      <c r="C26" s="12" t="s">
        <v>46</v>
      </c>
      <c r="D26" s="12" t="s">
        <v>195</v>
      </c>
      <c r="E26" s="12" t="s">
        <v>196</v>
      </c>
      <c r="F26" s="12" t="s">
        <v>197</v>
      </c>
      <c r="G26" s="12" t="s">
        <v>189</v>
      </c>
      <c r="H26" s="12" t="s">
        <v>198</v>
      </c>
      <c r="I26" s="12" t="s">
        <v>199</v>
      </c>
      <c r="J26" s="12" t="s">
        <v>200</v>
      </c>
      <c r="K26" s="12" t="s">
        <v>201</v>
      </c>
      <c r="L26" s="12" t="s">
        <v>55</v>
      </c>
      <c r="M26" s="21"/>
      <c r="N26" s="22" t="s">
        <v>99</v>
      </c>
    </row>
    <row r="27" ht="247.5" hidden="1" spans="1:14">
      <c r="A27" s="9">
        <f t="shared" si="0"/>
        <v>22</v>
      </c>
      <c r="B27" s="13" t="s">
        <v>185</v>
      </c>
      <c r="C27" s="13" t="s">
        <v>46</v>
      </c>
      <c r="D27" s="13" t="s">
        <v>202</v>
      </c>
      <c r="E27" s="13" t="s">
        <v>203</v>
      </c>
      <c r="F27" s="13" t="s">
        <v>188</v>
      </c>
      <c r="G27" s="13" t="s">
        <v>189</v>
      </c>
      <c r="H27" s="13" t="s">
        <v>198</v>
      </c>
      <c r="I27" s="13" t="s">
        <v>191</v>
      </c>
      <c r="J27" s="13" t="s">
        <v>204</v>
      </c>
      <c r="K27" s="13" t="s">
        <v>205</v>
      </c>
      <c r="L27" s="13" t="s">
        <v>206</v>
      </c>
      <c r="M27" s="24" t="s">
        <v>147</v>
      </c>
      <c r="N27" s="22"/>
    </row>
    <row r="28" ht="82.5" hidden="1" spans="1:14">
      <c r="A28" s="9">
        <f t="shared" si="0"/>
        <v>23</v>
      </c>
      <c r="B28" s="18" t="s">
        <v>207</v>
      </c>
      <c r="C28" s="18" t="s">
        <v>208</v>
      </c>
      <c r="D28" s="18" t="s">
        <v>209</v>
      </c>
      <c r="E28" s="18" t="s">
        <v>210</v>
      </c>
      <c r="F28" s="18" t="s">
        <v>211</v>
      </c>
      <c r="G28" s="18" t="s">
        <v>92</v>
      </c>
      <c r="H28" s="18" t="s">
        <v>212</v>
      </c>
      <c r="I28" s="18" t="s">
        <v>213</v>
      </c>
      <c r="J28" s="18" t="s">
        <v>214</v>
      </c>
      <c r="K28" s="18" t="s">
        <v>94</v>
      </c>
      <c r="L28" s="18" t="s">
        <v>215</v>
      </c>
      <c r="M28" s="26" t="s">
        <v>147</v>
      </c>
      <c r="N28" s="22"/>
    </row>
    <row r="29" ht="49.5" hidden="1" spans="1:14">
      <c r="A29" s="9">
        <f t="shared" si="0"/>
        <v>24</v>
      </c>
      <c r="B29" s="12" t="s">
        <v>216</v>
      </c>
      <c r="C29" s="12" t="s">
        <v>57</v>
      </c>
      <c r="D29" s="12" t="s">
        <v>217</v>
      </c>
      <c r="E29" s="12" t="s">
        <v>218</v>
      </c>
      <c r="F29" s="12" t="s">
        <v>219</v>
      </c>
      <c r="G29" s="12" t="s">
        <v>50</v>
      </c>
      <c r="H29" s="12" t="s">
        <v>220</v>
      </c>
      <c r="I29" s="12" t="s">
        <v>52</v>
      </c>
      <c r="J29" s="12" t="s">
        <v>221</v>
      </c>
      <c r="K29" s="12" t="s">
        <v>118</v>
      </c>
      <c r="L29" s="12" t="s">
        <v>55</v>
      </c>
      <c r="M29" s="21"/>
      <c r="N29" s="22" t="s">
        <v>99</v>
      </c>
    </row>
    <row r="30" ht="33" spans="1:14">
      <c r="A30" s="9">
        <f t="shared" si="0"/>
        <v>25</v>
      </c>
      <c r="B30" s="12" t="s">
        <v>216</v>
      </c>
      <c r="C30" s="12" t="s">
        <v>57</v>
      </c>
      <c r="D30" s="12" t="s">
        <v>222</v>
      </c>
      <c r="E30" s="12" t="s">
        <v>223</v>
      </c>
      <c r="F30" s="12" t="s">
        <v>224</v>
      </c>
      <c r="G30" s="12" t="s">
        <v>50</v>
      </c>
      <c r="H30" s="12" t="s">
        <v>220</v>
      </c>
      <c r="I30" s="12" t="s">
        <v>52</v>
      </c>
      <c r="J30" s="12" t="s">
        <v>225</v>
      </c>
      <c r="K30" s="12" t="s">
        <v>118</v>
      </c>
      <c r="L30" s="12" t="s">
        <v>55</v>
      </c>
      <c r="M30" s="21"/>
      <c r="N30" s="22" t="s">
        <v>44</v>
      </c>
    </row>
  </sheetData>
  <autoFilter xmlns:etc="http://www.wps.cn/officeDocument/2017/etCustomData" ref="N1:N30" etc:filterBottomFollowUsedRange="0">
    <filterColumn colId="0">
      <filters>
        <filter val="负责人"/>
        <filter val="范森舟"/>
        <filter val="白楠组/范森舟"/>
      </filters>
    </filterColumn>
    <extLst/>
  </autoFilter>
  <mergeCells count="8">
    <mergeCell ref="A1:L1"/>
    <mergeCell ref="A2:L2"/>
    <mergeCell ref="B3:C3"/>
    <mergeCell ref="D3:F3"/>
    <mergeCell ref="G3:I3"/>
    <mergeCell ref="J3:K3"/>
    <mergeCell ref="A3:A4"/>
    <mergeCell ref="L3:L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AI办公场景需求收集表汇总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鼎驰HR</dc:creator>
  <cp:lastModifiedBy>wangyan</cp:lastModifiedBy>
  <dcterms:created xsi:type="dcterms:W3CDTF">2023-05-12T19:15:00Z</dcterms:created>
  <dcterms:modified xsi:type="dcterms:W3CDTF">2026-01-29T02:17:24Z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914A80BEF6FD4FCE8C08359E2EA338A5_13</vt:lpwstr>
  </property>
  <property fmtid="{D5CDD505-2E9C-101B-9397-08002B2CF9AE}" pid="4" name="CalculationRule">
    <vt:i4>0</vt:i4>
  </property>
</Properties>
</file>